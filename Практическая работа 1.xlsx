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Практические работы по бипит\"/>
    </mc:Choice>
  </mc:AlternateContent>
  <xr:revisionPtr revIDLastSave="0" documentId="13_ncr:1_{70162BE2-67D4-4042-8BA3-579EB691C291}" xr6:coauthVersionLast="47" xr6:coauthVersionMax="47" xr10:uidLastSave="{00000000-0000-0000-0000-000000000000}"/>
  <bookViews>
    <workbookView xWindow="4635" yWindow="3045" windowWidth="21600" windowHeight="11295" xr2:uid="{00000000-000D-0000-FFFF-FFFF00000000}"/>
  </bookViews>
  <sheets>
    <sheet name="Лист1" sheetId="1" r:id="rId1"/>
  </sheets>
  <definedNames>
    <definedName name="solver_adj" localSheetId="0" hidden="1">Лист1!$D$3:$D$4,Лист1!$F$3:$F$4,Лист1!$H$3:$H$4,Лист1!$J$3:$J$4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Лист1!$D$3:$D$4</definedName>
    <definedName name="solver_lhs2" localSheetId="0" hidden="1">Лист1!$D$6</definedName>
    <definedName name="solver_lhs3" localSheetId="0" hidden="1">Лист1!$F$3:$F$4</definedName>
    <definedName name="solver_lhs4" localSheetId="0" hidden="1">Лист1!$F$6</definedName>
    <definedName name="solver_lhs5" localSheetId="0" hidden="1">Лист1!$H$3:$H$4</definedName>
    <definedName name="solver_lhs6" localSheetId="0" hidden="1">Лист1!$H$6</definedName>
    <definedName name="solver_lhs7" localSheetId="0" hidden="1">Лист1!$J$3:$J$4</definedName>
    <definedName name="solver_lhs8" localSheetId="0" hidden="1">Лист1!$J$6</definedName>
    <definedName name="solver_lhs9" localSheetId="0" hidden="1">Лист1!$K$6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9</definedName>
    <definedName name="solver_nwt" localSheetId="0" hidden="1">1</definedName>
    <definedName name="solver_opt" localSheetId="0" hidden="1">Лист1!$C$7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2</definedName>
    <definedName name="solver_rel3" localSheetId="0" hidden="1">3</definedName>
    <definedName name="solver_rel4" localSheetId="0" hidden="1">2</definedName>
    <definedName name="solver_rel5" localSheetId="0" hidden="1">3</definedName>
    <definedName name="solver_rel6" localSheetId="0" hidden="1">2</definedName>
    <definedName name="solver_rel7" localSheetId="0" hidden="1">3</definedName>
    <definedName name="solver_rel8" localSheetId="0" hidden="1">2</definedName>
    <definedName name="solver_rel9" localSheetId="0" hidden="1">1</definedName>
    <definedName name="solver_rhs1" localSheetId="0" hidden="1">0</definedName>
    <definedName name="solver_rhs2" localSheetId="0" hidden="1">Лист1!$D$5</definedName>
    <definedName name="solver_rhs3" localSheetId="0" hidden="1">0</definedName>
    <definedName name="solver_rhs4" localSheetId="0" hidden="1">Лист1!$F$5</definedName>
    <definedName name="solver_rhs5" localSheetId="0" hidden="1">0</definedName>
    <definedName name="solver_rhs6" localSheetId="0" hidden="1">Лист1!$H$5</definedName>
    <definedName name="solver_rhs7" localSheetId="0" hidden="1">0</definedName>
    <definedName name="solver_rhs8" localSheetId="0" hidden="1">Лист1!$J$5</definedName>
    <definedName name="solver_rhs9" localSheetId="0" hidden="1">Лист1!$B$5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J6" i="1"/>
  <c r="H6" i="1"/>
  <c r="F6" i="1"/>
  <c r="D6" i="1"/>
  <c r="K6" i="1" l="1"/>
</calcChain>
</file>

<file path=xl/sharedStrings.xml><?xml version="1.0" encoding="utf-8"?>
<sst xmlns="http://schemas.openxmlformats.org/spreadsheetml/2006/main" count="18" uniqueCount="12">
  <si>
    <t>Цена перевозки (руб./партия)</t>
  </si>
  <si>
    <t>Кол-во партий</t>
  </si>
  <si>
    <t>Наличие з/ч в логистических центрах</t>
  </si>
  <si>
    <t>ЛЦ 1</t>
  </si>
  <si>
    <t>ЛЦ 2</t>
  </si>
  <si>
    <t>Целевая функция</t>
  </si>
  <si>
    <t>Сервисный центр 1</t>
  </si>
  <si>
    <t>Сервисный центр 2</t>
  </si>
  <si>
    <t>Сервисный центр 3</t>
  </si>
  <si>
    <t>Сервисный центр 4</t>
  </si>
  <si>
    <t>Всего</t>
  </si>
  <si>
    <t>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</si>
</sst>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workbookViewId="0">
      <selection activeCell="B7" sqref="B7"/>
    </sheetView>
  </sheetViews>
  <sheetFormatPr defaultRowHeight="15" x14ac:dyDescent="0.25"/>
  <sheetData>
    <row r="1" spans="1:11" x14ac:dyDescent="0.25">
      <c r="C1" s="7" t="s">
        <v>6</v>
      </c>
      <c r="D1" s="7"/>
      <c r="E1" s="7" t="s">
        <v>7</v>
      </c>
      <c r="F1" s="7"/>
      <c r="G1" s="7" t="s">
        <v>8</v>
      </c>
      <c r="H1" s="7"/>
      <c r="I1" s="7" t="s">
        <v>9</v>
      </c>
      <c r="J1" s="7"/>
    </row>
    <row r="2" spans="1:11" ht="54" customHeight="1" x14ac:dyDescent="0.25">
      <c r="A2" s="2" t="s">
        <v>2</v>
      </c>
      <c r="B2" s="2"/>
      <c r="C2" s="3" t="s">
        <v>0</v>
      </c>
      <c r="D2" s="3" t="s">
        <v>1</v>
      </c>
      <c r="E2" s="3" t="s">
        <v>0</v>
      </c>
      <c r="F2" s="3" t="s">
        <v>1</v>
      </c>
      <c r="G2" s="3" t="s">
        <v>0</v>
      </c>
      <c r="H2" s="3" t="s">
        <v>1</v>
      </c>
      <c r="I2" s="3" t="s">
        <v>0</v>
      </c>
      <c r="J2" s="3" t="s">
        <v>1</v>
      </c>
    </row>
    <row r="3" spans="1:11" x14ac:dyDescent="0.25">
      <c r="A3" s="4" t="s">
        <v>3</v>
      </c>
      <c r="B3" s="4">
        <v>140</v>
      </c>
      <c r="C3" s="4">
        <v>10</v>
      </c>
      <c r="D3" s="4">
        <v>40</v>
      </c>
      <c r="E3" s="4">
        <v>5</v>
      </c>
      <c r="F3" s="4">
        <v>80</v>
      </c>
      <c r="G3" s="4">
        <v>7</v>
      </c>
      <c r="H3" s="4">
        <v>50</v>
      </c>
      <c r="I3" s="4">
        <v>10</v>
      </c>
      <c r="J3" s="4">
        <v>0</v>
      </c>
    </row>
    <row r="4" spans="1:11" x14ac:dyDescent="0.25">
      <c r="A4" s="4" t="s">
        <v>4</v>
      </c>
      <c r="B4" s="4">
        <v>60</v>
      </c>
      <c r="C4" s="4">
        <v>20</v>
      </c>
      <c r="D4">
        <v>1.7763568394002505E-15</v>
      </c>
      <c r="E4" s="4">
        <v>25</v>
      </c>
      <c r="F4" s="4">
        <v>0</v>
      </c>
      <c r="G4" s="4">
        <v>15</v>
      </c>
      <c r="H4" s="4">
        <v>0</v>
      </c>
      <c r="I4" s="4">
        <v>8</v>
      </c>
      <c r="J4" s="4">
        <v>30</v>
      </c>
    </row>
    <row r="5" spans="1:11" x14ac:dyDescent="0.25">
      <c r="A5" s="4" t="s">
        <v>10</v>
      </c>
      <c r="B5" s="4">
        <v>200</v>
      </c>
      <c r="C5" s="5"/>
      <c r="D5" s="4">
        <v>40</v>
      </c>
      <c r="E5" s="4"/>
      <c r="F5" s="4">
        <v>80</v>
      </c>
      <c r="G5" s="4"/>
      <c r="H5" s="4">
        <v>50</v>
      </c>
      <c r="I5" s="4"/>
      <c r="J5" s="4">
        <v>30</v>
      </c>
      <c r="K5" s="10" t="s">
        <v>11</v>
      </c>
    </row>
    <row r="6" spans="1:11" x14ac:dyDescent="0.25">
      <c r="A6" s="6"/>
      <c r="B6" s="5"/>
      <c r="C6" s="4"/>
      <c r="D6" s="4">
        <f>SUM(D3:D4)</f>
        <v>40</v>
      </c>
      <c r="E6" s="4"/>
      <c r="F6" s="4">
        <f>SUM(F3:F4)</f>
        <v>80</v>
      </c>
      <c r="G6" s="4"/>
      <c r="H6" s="4">
        <f>SUM(H3:H4)</f>
        <v>50</v>
      </c>
      <c r="I6" s="4"/>
      <c r="J6" s="4">
        <f>SUM(J3:J4)</f>
        <v>30</v>
      </c>
      <c r="K6" s="11">
        <f>D6+F6+H6+J6</f>
        <v>200</v>
      </c>
    </row>
    <row r="7" spans="1:11" ht="30" x14ac:dyDescent="0.25">
      <c r="A7" s="8" t="s">
        <v>5</v>
      </c>
      <c r="B7" s="9">
        <v>0</v>
      </c>
      <c r="C7" s="1">
        <f>C3*D3+E3*F3+G3*H3+I3*J3+C4*D4+E4*F4+G4*H4+I4*J4</f>
        <v>1390</v>
      </c>
    </row>
    <row r="17" spans="10:19" x14ac:dyDescent="0.25">
      <c r="J17" s="1"/>
      <c r="K17" s="1"/>
    </row>
    <row r="18" spans="10:19" x14ac:dyDescent="0.25">
      <c r="K18" s="1"/>
    </row>
    <row r="22" spans="10:19" x14ac:dyDescent="0.25">
      <c r="J22" s="1"/>
      <c r="K22" s="1"/>
    </row>
    <row r="23" spans="10:19" x14ac:dyDescent="0.25">
      <c r="L23" s="1"/>
      <c r="M23" s="1"/>
      <c r="N23" s="1"/>
      <c r="O23" s="1"/>
      <c r="P23" s="1"/>
      <c r="Q23" s="1"/>
      <c r="R23" s="1"/>
      <c r="S23" s="1"/>
    </row>
  </sheetData>
  <mergeCells count="5">
    <mergeCell ref="A2:B2"/>
    <mergeCell ref="C1:D1"/>
    <mergeCell ref="E1:F1"/>
    <mergeCell ref="G1:H1"/>
    <mergeCell ref="I1:J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2026-03-03T00:24:00Z</dcterms:modified>
</cp:coreProperties>
</file>